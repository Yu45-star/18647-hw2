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0792c52ea45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0b6fd60b1474e3c"/>
    <x:sheet xmlns:r="http://schemas.openxmlformats.org/officeDocument/2006/relationships" name="Plots" sheetId="2" r:id="R339bbc60387f4817"/>
    <x:sheet xmlns:r="http://schemas.openxmlformats.org/officeDocument/2006/relationships" name="Analysis" sheetId="3" r:id="Rd94b7606e113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"/>
    <x:numFmt numFmtId="202" formatCode="0.0000"/>
    <x:numFmt numFmtId="203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3" fontId="0" fillId="0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51cbc2a2d429d" /><Relationship Type="http://schemas.openxmlformats.org/officeDocument/2006/relationships/theme" Target="/xl/theme/theme1.xml" Id="R981cab4de74543f5" /><Relationship Type="http://schemas.openxmlformats.org/officeDocument/2006/relationships/sharedStrings" Target="/xl/sharedStrings.xml" Id="Rddf576ab2b484a29" /><Relationship Type="http://schemas.openxmlformats.org/officeDocument/2006/relationships/worksheet" Target="/xl/worksheets/sheet1.xml" Id="R00b6fd60b1474e3c" /><Relationship Type="http://schemas.openxmlformats.org/officeDocument/2006/relationships/worksheet" Target="/xl/worksheets/sheet2.xml" Id="R339bbc60387f4817" /><Relationship Type="http://schemas.openxmlformats.org/officeDocument/2006/relationships/worksheet" Target="/xl/worksheets/sheet3.xml" Id="Rd94b7606e11346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bf099f96db40d1" /><Relationship Type="http://schemas.openxmlformats.org/officeDocument/2006/relationships/chart" Target="/xl/drawings/charts/chart2.xml" Id="R434f0076108941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Measured Effective Bandwidth vs. Threads</a:t>
            </a:r>
          </a:p>
        </c:rich>
      </c:tx>
    </c:title>
    <c:plotArea>
      <c:lineChart>
        <c:grouping val="standard"/>
        <c:ser>
          <c:idx val="0"/>
          <c:order val="0"/>
          <c:tx>
            <c:v>Rank 1</c:v>
          </c:tx>
          <c:marker>
            <c:symbol val="none"/>
          </c:marker>
          <c:cat>
            <c:strRef>
              <c:f>'Plots'!$A$2:$A$9</c:f>
              <c:strCache>
                <c:ptCount val="0"/>
              </c:strCache>
            </c:strRef>
          </c:cat>
          <c:val>
            <c:numRef>
              <c:f>'Plots'!$B$2:$B$9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Rank 2</c:v>
          </c:tx>
          <c:marker>
            <c:symbol val="none"/>
          </c:marker>
          <c:cat>
            <c:strRef>
              <c:f>'Plots'!$A$2:$A$9</c:f>
              <c:strCache>
                <c:ptCount val="0"/>
              </c:strCache>
            </c:strRef>
          </c:cat>
          <c:val>
            <c:numRef>
              <c:f>'Plots'!$C$2:$C$9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Rank 4</c:v>
          </c:tx>
          <c:marker>
            <c:symbol val="none"/>
          </c:marker>
          <c:cat>
            <c:strRef>
              <c:f>'Plots'!$A$2:$A$9</c:f>
              <c:strCache>
                <c:ptCount val="0"/>
              </c:strCache>
            </c:strRef>
          </c:cat>
          <c:val>
            <c:numRef>
              <c:f>'Plots'!$D$2:$D$9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Rank 8</c:v>
          </c:tx>
          <c:marker>
            <c:symbol val="none"/>
          </c:marker>
          <c:cat>
            <c:strRef>
              <c:f>'Plots'!$A$2:$A$9</c:f>
              <c:strCache>
                <c:ptCount val="0"/>
              </c:strCache>
            </c:strRef>
          </c:cat>
          <c:val>
            <c:numRef>
              <c:f>'Plots'!$E$2:$E$9</c:f>
              <c:numCache>
                <c:formatCode>0.0000</c:formatCode>
                <c:ptCount val="0"/>
              </c:numCache>
            </c:numRef>
          </c:val>
        </c:ser>
        <c:ser>
          <c:idx val="4"/>
          <c:order val="4"/>
          <c:tx>
            <c:v>Rank 16</c:v>
          </c:tx>
          <c:marker>
            <c:symbol val="none"/>
          </c:marker>
          <c:cat>
            <c:strRef>
              <c:f>'Plots'!$A$2:$A$9</c:f>
              <c:strCache>
                <c:ptCount val="0"/>
              </c:strCache>
            </c:strRef>
          </c:cat>
          <c:val>
            <c:numRef>
              <c:f>'Plots'!$F$2:$F$9</c:f>
              <c:numCache>
                <c:formatCode>0.0000</c:formatCode>
                <c:ptCount val="0"/>
              </c:numCache>
            </c:numRef>
          </c:val>
        </c:ser>
        <c:ser>
          <c:idx val="5"/>
          <c:order val="5"/>
          <c:tx>
            <c:v>Rank 32</c:v>
          </c:tx>
          <c:marker>
            <c:symbol val="none"/>
          </c:marker>
          <c:cat>
            <c:strRef>
              <c:f>'Plots'!$A$2:$A$9</c:f>
              <c:strCache>
                <c:ptCount val="0"/>
              </c:strCache>
            </c:strRef>
          </c:cat>
          <c:val>
            <c:numRef>
              <c:f>'Plots'!$G$2:$G$9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Threads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Bandwidth (GB/s)</a:t>
                </a:r>
              </a:p>
            </c:rich>
          </c:tx>
        </c:title>
        <c:numFmt formatCode="0.0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Parallel Speedup vs. Threads</a:t>
            </a:r>
          </a:p>
        </c:rich>
      </c:tx>
    </c:title>
    <c:plotArea>
      <c:lineChart>
        <c:grouping val="standard"/>
        <c:ser>
          <c:idx val="0"/>
          <c:order val="0"/>
          <c:tx>
            <c:v>Rank 1</c:v>
          </c:tx>
          <c:marker>
            <c:symbol val="none"/>
          </c:marker>
          <c:cat>
            <c:strRef>
              <c:f>'Plots'!$A$13:$A$20</c:f>
              <c:strCache>
                <c:ptCount val="0"/>
              </c:strCache>
            </c:strRef>
          </c:cat>
          <c:val>
            <c:numRef>
              <c:f>'Plots'!$B$13:$B$20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Rank 2</c:v>
          </c:tx>
          <c:marker>
            <c:symbol val="none"/>
          </c:marker>
          <c:cat>
            <c:strRef>
              <c:f>'Plots'!$A$13:$A$20</c:f>
              <c:strCache>
                <c:ptCount val="0"/>
              </c:strCache>
            </c:strRef>
          </c:cat>
          <c:val>
            <c:numRef>
              <c:f>'Plots'!$C$13:$C$20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Rank 4</c:v>
          </c:tx>
          <c:marker>
            <c:symbol val="none"/>
          </c:marker>
          <c:cat>
            <c:strRef>
              <c:f>'Plots'!$A$13:$A$20</c:f>
              <c:strCache>
                <c:ptCount val="0"/>
              </c:strCache>
            </c:strRef>
          </c:cat>
          <c:val>
            <c:numRef>
              <c:f>'Plots'!$D$13:$D$20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Rank 8</c:v>
          </c:tx>
          <c:marker>
            <c:symbol val="none"/>
          </c:marker>
          <c:cat>
            <c:strRef>
              <c:f>'Plots'!$A$13:$A$20</c:f>
              <c:strCache>
                <c:ptCount val="0"/>
              </c:strCache>
            </c:strRef>
          </c:cat>
          <c:val>
            <c:numRef>
              <c:f>'Plots'!$E$13:$E$20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Rank 16</c:v>
          </c:tx>
          <c:marker>
            <c:symbol val="none"/>
          </c:marker>
          <c:cat>
            <c:strRef>
              <c:f>'Plots'!$A$13:$A$20</c:f>
              <c:strCache>
                <c:ptCount val="0"/>
              </c:strCache>
            </c:strRef>
          </c:cat>
          <c:val>
            <c:numRef>
              <c:f>'Plots'!$F$13:$F$20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Rank 32</c:v>
          </c:tx>
          <c:marker>
            <c:symbol val="none"/>
          </c:marker>
          <c:cat>
            <c:strRef>
              <c:f>'Plots'!$A$13:$A$20</c:f>
              <c:strCache>
                <c:ptCount val="0"/>
              </c:strCache>
            </c:strRef>
          </c:cat>
          <c:val>
            <c:numRef>
              <c:f>'Plots'!$G$13:$G$20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Threads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Speedup (x)</a:t>
                </a:r>
              </a:p>
            </c:rich>
          </c:tx>
        </c:title>
        <c:numFmt formatCode="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bf099f96db40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4f0076108941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lResultsTable" displayName="FinalResultsTable" ref="A1:J49" headerRowCount="1" totalsRowCount="0" totalsRowShown="0">
  <x:tableColumns count="10">
    <x:tableColumn id="1" name="rank"/>
    <x:tableColumn id="2" name="shape"/>
    <x:tableColumn id="3" name="threads"/>
    <x:tableColumn id="4" name="run1"/>
    <x:tableColumn id="5" name="run2"/>
    <x:tableColumn id="6" name="run3"/>
    <x:tableColumn id="7" name="median_time"/>
    <x:tableColumn id="8" name="traffic_bytes"/>
    <x:tableColumn id="9" name="bandwidth_gbs"/>
    <x:tableColumn id="10" name="speed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349d0c41ed42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4f8a21004c445a5" /></Relationships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34" hidden="0" customWidth="1"/>
    <x:col min="3" max="3" width="6.380000114440918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10.75" hidden="0" customWidth="1"/>
    <x:col min="8" max="8" width="10" hidden="0" customWidth="1"/>
    <x:col min="9" max="9" width="12.380000114440918" hidden="0" customWidth="1"/>
    <x:col min="10" max="10" width="7.130000114440918" hidden="0" customWidth="1"/>
  </x:cols>
  <x:sheetData>
    <x:row r="1">
      <x:c r="A1" s="16" t="str">
        <x:v>rank</x:v>
      </x:c>
      <x:c r="B1" s="16" t="str">
        <x:v>shape</x:v>
      </x:c>
      <x:c r="C1" s="16" t="str">
        <x:v>threads</x:v>
      </x:c>
      <x:c r="D1" s="16" t="str">
        <x:v>run1</x:v>
      </x:c>
      <x:c r="E1" s="16" t="str">
        <x:v>run2</x:v>
      </x:c>
      <x:c r="F1" s="16" t="str">
        <x:v>run3</x:v>
      </x:c>
      <x:c r="G1" s="16" t="str">
        <x:v>median_time</x:v>
      </x:c>
      <x:c r="H1" s="16" t="str">
        <x:v>traffic_bytes</x:v>
      </x:c>
      <x:c r="I1" s="16" t="str">
        <x:v>bandwidth_gbs</x:v>
      </x:c>
      <x:c r="J1" s="16" t="str">
        <x:v>speedup</x:v>
      </x:c>
    </x:row>
    <x:row r="2">
      <x:c r="A2" s="17" t="n">
        <x:v>1</x:v>
      </x:c>
      <x:c r="B2" s="17" t="str">
        <x:v>4294967296</x:v>
      </x:c>
      <x:c r="C2" s="17" t="n">
        <x:v>1</x:v>
      </x:c>
      <x:c r="D2" s="18" t="n">
        <x:v>15.496271</x:v>
      </x:c>
      <x:c r="E2" s="18" t="n">
        <x:v>15.489143</x:v>
      </x:c>
      <x:c r="F2" s="18" t="n">
        <x:v>15.495696</x:v>
      </x:c>
      <x:c r="G2" s="18" t="n">
        <x:f>MEDIAN(D2:F2)</x:f>
        <x:v>15.495696</x:v>
      </x:c>
      <x:c r="H2" s="19" t="n">
        <x:v>8589934592</x:v>
      </x:c>
      <x:c r="I2" s="20" t="n">
        <x:f>H2/G2/1000000000</x:f>
        <x:v>0.5543432571212031</x:v>
      </x:c>
      <x:c r="J2" s="20" t="n">
        <x:f>SUMIFS($G$2:$G$49,$A$2:$A$49,A2,$C$2:$C$49,1)/G2</x:f>
        <x:v>1</x:v>
      </x:c>
    </x:row>
    <x:row r="3">
      <x:c r="A3" s="17" t="n">
        <x:v>1</x:v>
      </x:c>
      <x:c r="B3" s="17" t="str">
        <x:v>4294967296</x:v>
      </x:c>
      <x:c r="C3" s="17" t="n">
        <x:v>2</x:v>
      </x:c>
      <x:c r="D3" s="18" t="n">
        <x:v>7.750081</x:v>
      </x:c>
      <x:c r="E3" s="18" t="n">
        <x:v>7.747617</x:v>
      </x:c>
      <x:c r="F3" s="18" t="n">
        <x:v>7.750003</x:v>
      </x:c>
      <x:c r="G3" s="18" t="n">
        <x:f>MEDIAN(D3:F3)</x:f>
        <x:v>7.750003</x:v>
      </x:c>
      <x:c r="H3" s="19" t="n">
        <x:v>8589934592</x:v>
      </x:c>
      <x:c r="I3" s="20" t="n">
        <x:f>H3/G3/1000000000</x:f>
        <x:v>1.1083782279826215</x:v>
      </x:c>
      <x:c r="J3" s="20" t="n">
        <x:f>SUMIFS($G$2:$G$49,$A$2:$A$49,A3,$C$2:$C$49,1)/G3</x:f>
        <x:v>1.9994438711830176</x:v>
      </x:c>
    </x:row>
    <x:row r="4">
      <x:c r="A4" s="17" t="n">
        <x:v>1</x:v>
      </x:c>
      <x:c r="B4" s="17" t="str">
        <x:v>4294967296</x:v>
      </x:c>
      <x:c r="C4" s="17" t="n">
        <x:v>3</x:v>
      </x:c>
      <x:c r="D4" s="18" t="n">
        <x:v>5.17056</x:v>
      </x:c>
      <x:c r="E4" s="18" t="n">
        <x:v>5.166996</x:v>
      </x:c>
      <x:c r="F4" s="18" t="n">
        <x:v>5.169936</x:v>
      </x:c>
      <x:c r="G4" s="18" t="n">
        <x:f>MEDIAN(D4:F4)</x:f>
        <x:v>5.169936</x:v>
      </x:c>
      <x:c r="H4" s="19" t="n">
        <x:v>8589934592</x:v>
      </x:c>
      <x:c r="I4" s="20" t="n">
        <x:f>H4/G4/1000000000</x:f>
        <x:v>1.6615166207086511</x:v>
      </x:c>
      <x:c r="J4" s="20" t="n">
        <x:f>SUMIFS($G$2:$G$49,$A$2:$A$49,A4,$C$2:$C$49,1)/G4</x:f>
        <x:v>2.9972703723991945</x:v>
      </x:c>
    </x:row>
    <x:row r="5">
      <x:c r="A5" s="17" t="n">
        <x:v>1</x:v>
      </x:c>
      <x:c r="B5" s="17" t="str">
        <x:v>4294967296</x:v>
      </x:c>
      <x:c r="C5" s="17" t="n">
        <x:v>4</x:v>
      </x:c>
      <x:c r="D5" s="18" t="n">
        <x:v>3.880165</x:v>
      </x:c>
      <x:c r="E5" s="18" t="n">
        <x:v>3.879707</x:v>
      </x:c>
      <x:c r="F5" s="18" t="n">
        <x:v>3.881034</x:v>
      </x:c>
      <x:c r="G5" s="18" t="n">
        <x:f>MEDIAN(D5:F5)</x:f>
        <x:v>3.880165</x:v>
      </x:c>
      <x:c r="H5" s="19" t="n">
        <x:v>8589934592</x:v>
      </x:c>
      <x:c r="I5" s="20" t="n">
        <x:f>H5/G5/1000000000</x:f>
        <x:v>2.2138065242070892</x:v>
      </x:c>
      <x:c r="J5" s="20" t="n">
        <x:f>SUMIFS($G$2:$G$49,$A$2:$A$49,A5,$C$2:$C$49,1)/G5</x:f>
        <x:v>3.99356625298151</x:v>
      </x:c>
    </x:row>
    <x:row r="6">
      <x:c r="A6" s="17" t="n">
        <x:v>1</x:v>
      </x:c>
      <x:c r="B6" s="17" t="str">
        <x:v>4294967296</x:v>
      </x:c>
      <x:c r="C6" s="17" t="n">
        <x:v>5</x:v>
      </x:c>
      <x:c r="D6" s="18" t="n">
        <x:v>3.170386</x:v>
      </x:c>
      <x:c r="E6" s="18" t="n">
        <x:v>3.169415</x:v>
      </x:c>
      <x:c r="F6" s="18" t="n">
        <x:v>3.168811</x:v>
      </x:c>
      <x:c r="G6" s="18" t="n">
        <x:f>MEDIAN(D6:F6)</x:f>
        <x:v>3.169415</x:v>
      </x:c>
      <x:c r="H6" s="19" t="n">
        <x:v>8589934592</x:v>
      </x:c>
      <x:c r="I6" s="20" t="n">
        <x:f>H6/G6/1000000000</x:f>
        <x:v>2.7102587045243367</x:v>
      </x:c>
      <x:c r="J6" s="20" t="n">
        <x:f>SUMIFS($G$2:$G$49,$A$2:$A$49,A6,$C$2:$C$49,1)/G6</x:f>
        <x:v>4.889134430170868</x:v>
      </x:c>
    </x:row>
    <x:row r="7">
      <x:c r="A7" s="17" t="n">
        <x:v>1</x:v>
      </x:c>
      <x:c r="B7" s="17" t="str">
        <x:v>4294967296</x:v>
      </x:c>
      <x:c r="C7" s="17" t="n">
        <x:v>6</x:v>
      </x:c>
      <x:c r="D7" s="18" t="n">
        <x:v>2.640257</x:v>
      </x:c>
      <x:c r="E7" s="18" t="n">
        <x:v>2.642239</x:v>
      </x:c>
      <x:c r="F7" s="18" t="n">
        <x:v>2.641569</x:v>
      </x:c>
      <x:c r="G7" s="18" t="n">
        <x:f>MEDIAN(D7:F7)</x:f>
        <x:v>2.641569</x:v>
      </x:c>
      <x:c r="H7" s="19" t="n">
        <x:v>8589934592</x:v>
      </x:c>
      <x:c r="I7" s="20" t="n">
        <x:f>H7/G7/1000000000</x:f>
        <x:v>3.2518304810512237</x:v>
      </x:c>
      <x:c r="J7" s="20" t="n">
        <x:f>SUMIFS($G$2:$G$49,$A$2:$A$49,A7,$C$2:$C$49,1)/G7</x:f>
        <x:v>5.86609549097525</x:v>
      </x:c>
    </x:row>
    <x:row r="8">
      <x:c r="A8" s="17" t="n">
        <x:v>1</x:v>
      </x:c>
      <x:c r="B8" s="17" t="str">
        <x:v>4294967296</x:v>
      </x:c>
      <x:c r="C8" s="17" t="n">
        <x:v>7</x:v>
      </x:c>
      <x:c r="D8" s="18" t="n">
        <x:v>2.272152</x:v>
      </x:c>
      <x:c r="E8" s="18" t="n">
        <x:v>2.265199</x:v>
      </x:c>
      <x:c r="F8" s="18" t="n">
        <x:v>2.265054</x:v>
      </x:c>
      <x:c r="G8" s="18" t="n">
        <x:f>MEDIAN(D8:F8)</x:f>
        <x:v>2.265199</x:v>
      </x:c>
      <x:c r="H8" s="19" t="n">
        <x:v>8589934592</x:v>
      </x:c>
      <x:c r="I8" s="20" t="n">
        <x:f>H8/G8/1000000000</x:f>
        <x:v>3.7921324316318343</x:v>
      </x:c>
      <x:c r="J8" s="20" t="n">
        <x:f>SUMIFS($G$2:$G$49,$A$2:$A$49,A8,$C$2:$C$49,1)/G8</x:f>
        <x:v>6.840765866486786</x:v>
      </x:c>
    </x:row>
    <x:row r="9">
      <x:c r="A9" s="17" t="n">
        <x:v>1</x:v>
      </x:c>
      <x:c r="B9" s="17" t="str">
        <x:v>4294967296</x:v>
      </x:c>
      <x:c r="C9" s="17" t="n">
        <x:v>8</x:v>
      </x:c>
      <x:c r="D9" s="18" t="n">
        <x:v>1.983587</x:v>
      </x:c>
      <x:c r="E9" s="18" t="n">
        <x:v>1.984141</x:v>
      </x:c>
      <x:c r="F9" s="18" t="n">
        <x:v>1.983792</x:v>
      </x:c>
      <x:c r="G9" s="18" t="n">
        <x:f>MEDIAN(D9:F9)</x:f>
        <x:v>1.983792</x:v>
      </x:c>
      <x:c r="H9" s="19" t="n">
        <x:v>8589934592</x:v>
      </x:c>
      <x:c r="I9" s="20" t="n">
        <x:f>H9/G9/1000000000</x:f>
        <x:v>4.3300580867348994</x:v>
      </x:c>
      <x:c r="J9" s="20" t="n">
        <x:f>SUMIFS($G$2:$G$49,$A$2:$A$49,A9,$C$2:$C$49,1)/G9</x:f>
        <x:v>7.81114955600184</x:v>
      </x:c>
    </x:row>
    <x:row r="10">
      <x:c r="A10" s="17" t="n">
        <x:v>2</x:v>
      </x:c>
      <x:c r="B10" s="17" t="str">
        <x:v>65536x65536</x:v>
      </x:c>
      <x:c r="C10" s="17" t="n">
        <x:v>1</x:v>
      </x:c>
      <x:c r="D10" s="18" t="n">
        <x:v>170.593101</x:v>
      </x:c>
      <x:c r="E10" s="18" t="n">
        <x:v>170.838738</x:v>
      </x:c>
      <x:c r="F10" s="18" t="n">
        <x:v>170.826889</x:v>
      </x:c>
      <x:c r="G10" s="18" t="n">
        <x:f>MEDIAN(D10:F10)</x:f>
        <x:v>170.826889</x:v>
      </x:c>
      <x:c r="H10" s="19" t="n">
        <x:v>8589934592</x:v>
      </x:c>
      <x:c r="I10" s="20" t="n">
        <x:f>H10/G10/1000000000</x:f>
        <x:v>0.05028444082945279</x:v>
      </x:c>
      <x:c r="J10" s="20" t="n">
        <x:f>SUMIFS($G$2:$G$49,$A$2:$A$49,A10,$C$2:$C$49,1)/G10</x:f>
        <x:v>1</x:v>
      </x:c>
    </x:row>
    <x:row r="11">
      <x:c r="A11" s="17" t="n">
        <x:v>2</x:v>
      </x:c>
      <x:c r="B11" s="17" t="str">
        <x:v>65536x65536</x:v>
      </x:c>
      <x:c r="C11" s="17" t="n">
        <x:v>2</x:v>
      </x:c>
      <x:c r="D11" s="18" t="n">
        <x:v>87.332818</x:v>
      </x:c>
      <x:c r="E11" s="18" t="n">
        <x:v>87.47783</x:v>
      </x:c>
      <x:c r="F11" s="18" t="n">
        <x:v>87.374416</x:v>
      </x:c>
      <x:c r="G11" s="18" t="n">
        <x:f>MEDIAN(D11:F11)</x:f>
        <x:v>87.374416</x:v>
      </x:c>
      <x:c r="H11" s="19" t="n">
        <x:v>8589934592</x:v>
      </x:c>
      <x:c r="I11" s="20" t="n">
        <x:f>H11/G11/1000000000</x:f>
        <x:v>0.09831178261609212</x:v>
      </x:c>
      <x:c r="J11" s="20" t="n">
        <x:f>SUMIFS($G$2:$G$49,$A$2:$A$49,A11,$C$2:$C$49,1)/G11</x:f>
        <x:v>1.9551133709437325</x:v>
      </x:c>
    </x:row>
    <x:row r="12">
      <x:c r="A12" s="17" t="n">
        <x:v>2</x:v>
      </x:c>
      <x:c r="B12" s="17" t="str">
        <x:v>65536x65536</x:v>
      </x:c>
      <x:c r="C12" s="17" t="n">
        <x:v>3</x:v>
      </x:c>
      <x:c r="D12" s="18" t="n">
        <x:v>59.410891</x:v>
      </x:c>
      <x:c r="E12" s="18" t="n">
        <x:v>59.447214</x:v>
      </x:c>
      <x:c r="F12" s="18" t="n">
        <x:v>59.562708</x:v>
      </x:c>
      <x:c r="G12" s="18" t="n">
        <x:f>MEDIAN(D12:F12)</x:f>
        <x:v>59.447214</x:v>
      </x:c>
      <x:c r="H12" s="19" t="n">
        <x:v>8589934592</x:v>
      </x:c>
      <x:c r="I12" s="20" t="n">
        <x:f>H12/G12/1000000000</x:f>
        <x:v>0.1444968403733773</x:v>
      </x:c>
      <x:c r="J12" s="20" t="n">
        <x:f>SUMIFS($G$2:$G$49,$A$2:$A$49,A12,$C$2:$C$49,1)/G12</x:f>
        <x:v>2.873589483941165</x:v>
      </x:c>
    </x:row>
    <x:row r="13">
      <x:c r="A13" s="17" t="n">
        <x:v>2</x:v>
      </x:c>
      <x:c r="B13" s="17" t="str">
        <x:v>65536x65536</x:v>
      </x:c>
      <x:c r="C13" s="17" t="n">
        <x:v>4</x:v>
      </x:c>
      <x:c r="D13" s="18" t="n">
        <x:v>45.109704</x:v>
      </x:c>
      <x:c r="E13" s="18" t="n">
        <x:v>45.196556</x:v>
      </x:c>
      <x:c r="F13" s="18" t="n">
        <x:v>45.211552</x:v>
      </x:c>
      <x:c r="G13" s="18" t="n">
        <x:f>MEDIAN(D13:F13)</x:f>
        <x:v>45.196556</x:v>
      </x:c>
      <x:c r="H13" s="19" t="n">
        <x:v>8589934592</x:v>
      </x:c>
      <x:c r="I13" s="20" t="n">
        <x:f>H13/G13/1000000000</x:f>
        <x:v>0.19005728206370412</x:v>
      </x:c>
      <x:c r="J13" s="20" t="n">
        <x:f>SUMIFS($G$2:$G$49,$A$2:$A$49,A13,$C$2:$C$49,1)/G13</x:f>
        <x:v>3.7796439401267654</x:v>
      </x:c>
    </x:row>
    <x:row r="14">
      <x:c r="A14" s="17" t="n">
        <x:v>2</x:v>
      </x:c>
      <x:c r="B14" s="17" t="str">
        <x:v>65536x65536</x:v>
      </x:c>
      <x:c r="C14" s="17" t="n">
        <x:v>5</x:v>
      </x:c>
      <x:c r="D14" s="18" t="n">
        <x:v>36.226626</x:v>
      </x:c>
      <x:c r="E14" s="18" t="n">
        <x:v>36.153039</x:v>
      </x:c>
      <x:c r="F14" s="18" t="n">
        <x:v>36.171725</x:v>
      </x:c>
      <x:c r="G14" s="18" t="n">
        <x:f>MEDIAN(D14:F14)</x:f>
        <x:v>36.171725</x:v>
      </x:c>
      <x:c r="H14" s="19" t="n">
        <x:v>8589934592</x:v>
      </x:c>
      <x:c r="I14" s="20" t="n">
        <x:f>H14/G14/1000000000</x:f>
        <x:v>0.23747649834228254</x:v>
      </x:c>
      <x:c r="J14" s="20" t="n">
        <x:f>SUMIFS($G$2:$G$49,$A$2:$A$49,A14,$C$2:$C$49,1)/G14</x:f>
        <x:v>4.722663599814496</x:v>
      </x:c>
    </x:row>
    <x:row r="15">
      <x:c r="A15" s="17" t="n">
        <x:v>2</x:v>
      </x:c>
      <x:c r="B15" s="17" t="str">
        <x:v>65536x65536</x:v>
      </x:c>
      <x:c r="C15" s="17" t="n">
        <x:v>6</x:v>
      </x:c>
      <x:c r="D15" s="18" t="n">
        <x:v>30.625084</x:v>
      </x:c>
      <x:c r="E15" s="18" t="n">
        <x:v>30.616362</x:v>
      </x:c>
      <x:c r="F15" s="18" t="n">
        <x:v>30.620152</x:v>
      </x:c>
      <x:c r="G15" s="18" t="n">
        <x:f>MEDIAN(D15:F15)</x:f>
        <x:v>30.620152</x:v>
      </x:c>
      <x:c r="H15" s="19" t="n">
        <x:v>8589934592</x:v>
      </x:c>
      <x:c r="I15" s="20" t="n">
        <x:f>H15/G15/1000000000</x:f>
        <x:v>0.28053206894596733</x:v>
      </x:c>
      <x:c r="J15" s="20" t="n">
        <x:f>SUMIFS($G$2:$G$49,$A$2:$A$49,A15,$C$2:$C$49,1)/G15</x:f>
        <x:v>5.578904017197563</x:v>
      </x:c>
    </x:row>
    <x:row r="16">
      <x:c r="A16" s="17" t="n">
        <x:v>2</x:v>
      </x:c>
      <x:c r="B16" s="17" t="str">
        <x:v>65536x65536</x:v>
      </x:c>
      <x:c r="C16" s="17" t="n">
        <x:v>7</x:v>
      </x:c>
      <x:c r="D16" s="18" t="n">
        <x:v>25.981247</x:v>
      </x:c>
      <x:c r="E16" s="18" t="n">
        <x:v>25.978796</x:v>
      </x:c>
      <x:c r="F16" s="18" t="n">
        <x:v>25.996604</x:v>
      </x:c>
      <x:c r="G16" s="18" t="n">
        <x:f>MEDIAN(D16:F16)</x:f>
        <x:v>25.981247</x:v>
      </x:c>
      <x:c r="H16" s="19" t="n">
        <x:v>8589934592</x:v>
      </x:c>
      <x:c r="I16" s="20" t="n">
        <x:f>H16/G16/1000000000</x:f>
        <x:v>0.33062056613371943</x:v>
      </x:c>
      <x:c r="J16" s="20" t="n">
        <x:f>SUMIFS($G$2:$G$49,$A$2:$A$49,A16,$C$2:$C$49,1)/G16</x:f>
        <x:v>6.5750073120046935</x:v>
      </x:c>
    </x:row>
    <x:row r="17">
      <x:c r="A17" s="17" t="n">
        <x:v>2</x:v>
      </x:c>
      <x:c r="B17" s="17" t="str">
        <x:v>65536x65536</x:v>
      </x:c>
      <x:c r="C17" s="17" t="n">
        <x:v>8</x:v>
      </x:c>
      <x:c r="D17" s="18" t="n">
        <x:v>23.625721</x:v>
      </x:c>
      <x:c r="E17" s="18" t="n">
        <x:v>23.606967</x:v>
      </x:c>
      <x:c r="F17" s="18" t="n">
        <x:v>23.537173</x:v>
      </x:c>
      <x:c r="G17" s="18" t="n">
        <x:f>MEDIAN(D17:F17)</x:f>
        <x:v>23.606967</x:v>
      </x:c>
      <x:c r="H17" s="19" t="n">
        <x:v>8589934592</x:v>
      </x:c>
      <x:c r="I17" s="20" t="n">
        <x:f>H17/G17/1000000000</x:f>
        <x:v>0.36387285973670397</x:v>
      </x:c>
      <x:c r="J17" s="20" t="n">
        <x:f>SUMIFS($G$2:$G$49,$A$2:$A$49,A17,$C$2:$C$49,1)/G17</x:f>
        <x:v>7.2362912609654595</x:v>
      </x:c>
    </x:row>
    <x:row r="18">
      <x:c r="A18" s="17" t="n">
        <x:v>4</x:v>
      </x:c>
      <x:c r="B18" s="17" t="str">
        <x:v>256x256x256x256</x:v>
      </x:c>
      <x:c r="C18" s="17" t="n">
        <x:v>1</x:v>
      </x:c>
      <x:c r="D18" s="18" t="n">
        <x:v>164.553781</x:v>
      </x:c>
      <x:c r="E18" s="18" t="n">
        <x:v>164.39711</x:v>
      </x:c>
      <x:c r="F18" s="18" t="n">
        <x:v>164.43685</x:v>
      </x:c>
      <x:c r="G18" s="18" t="n">
        <x:f>MEDIAN(D18:F18)</x:f>
        <x:v>164.43685</x:v>
      </x:c>
      <x:c r="H18" s="19" t="n">
        <x:v>8589934592</x:v>
      </x:c>
      <x:c r="I18" s="20" t="n">
        <x:f>H18/G18/1000000000</x:f>
        <x:v>0.05223850123618885</x:v>
      </x:c>
      <x:c r="J18" s="20" t="n">
        <x:f>SUMIFS($G$2:$G$49,$A$2:$A$49,A18,$C$2:$C$49,1)/G18</x:f>
        <x:v>1</x:v>
      </x:c>
    </x:row>
    <x:row r="19">
      <x:c r="A19" s="17" t="n">
        <x:v>4</x:v>
      </x:c>
      <x:c r="B19" s="17" t="str">
        <x:v>256x256x256x256</x:v>
      </x:c>
      <x:c r="C19" s="17" t="n">
        <x:v>2</x:v>
      </x:c>
      <x:c r="D19" s="18" t="n">
        <x:v>83.15368</x:v>
      </x:c>
      <x:c r="E19" s="18" t="n">
        <x:v>83.12033</x:v>
      </x:c>
      <x:c r="F19" s="18" t="n">
        <x:v>83.235527</x:v>
      </x:c>
      <x:c r="G19" s="18" t="n">
        <x:f>MEDIAN(D19:F19)</x:f>
        <x:v>83.15368</x:v>
      </x:c>
      <x:c r="H19" s="19" t="n">
        <x:v>8589934592</x:v>
      </x:c>
      <x:c r="I19" s="20" t="n">
        <x:f>H19/G19/1000000000</x:f>
        <x:v>0.10330191750984444</x:v>
      </x:c>
      <x:c r="J19" s="20" t="n">
        <x:f>SUMIFS($G$2:$G$49,$A$2:$A$49,A19,$C$2:$C$49,1)/G19</x:f>
        <x:v>1.9775053852096505</x:v>
      </x:c>
    </x:row>
    <x:row r="20">
      <x:c r="A20" s="17" t="n">
        <x:v>4</x:v>
      </x:c>
      <x:c r="B20" s="17" t="str">
        <x:v>256x256x256x256</x:v>
      </x:c>
      <x:c r="C20" s="17" t="n">
        <x:v>3</x:v>
      </x:c>
      <x:c r="D20" s="18" t="n">
        <x:v>57.753546</x:v>
      </x:c>
      <x:c r="E20" s="18" t="n">
        <x:v>57.795978</x:v>
      </x:c>
      <x:c r="F20" s="18" t="n">
        <x:v>57.766303</x:v>
      </x:c>
      <x:c r="G20" s="18" t="n">
        <x:f>MEDIAN(D20:F20)</x:f>
        <x:v>57.766303</x:v>
      </x:c>
      <x:c r="H20" s="19" t="n">
        <x:v>8589934592</x:v>
      </x:c>
      <x:c r="I20" s="20" t="n">
        <x:f>H20/G20/1000000000</x:f>
        <x:v>0.14870147726088684</x:v>
      </x:c>
      <x:c r="J20" s="20" t="n">
        <x:f>SUMIFS($G$2:$G$49,$A$2:$A$49,A20,$C$2:$C$49,1)/G20</x:f>
        <x:v>2.846587741645852</x:v>
      </x:c>
    </x:row>
    <x:row r="21">
      <x:c r="A21" s="17" t="n">
        <x:v>4</x:v>
      </x:c>
      <x:c r="B21" s="17" t="str">
        <x:v>256x256x256x256</x:v>
      </x:c>
      <x:c r="C21" s="17" t="n">
        <x:v>4</x:v>
      </x:c>
      <x:c r="D21" s="18" t="n">
        <x:v>43.372488</x:v>
      </x:c>
      <x:c r="E21" s="18" t="n">
        <x:v>43.368372</x:v>
      </x:c>
      <x:c r="F21" s="18" t="n">
        <x:v>43.350454</x:v>
      </x:c>
      <x:c r="G21" s="18" t="n">
        <x:f>MEDIAN(D21:F21)</x:f>
        <x:v>43.368372</x:v>
      </x:c>
      <x:c r="H21" s="19" t="n">
        <x:v>8589934592</x:v>
      </x:c>
      <x:c r="I21" s="20" t="n">
        <x:f>H21/G21/1000000000</x:f>
        <x:v>0.19806910418495766</x:v>
      </x:c>
      <x:c r="J21" s="20" t="n">
        <x:f>SUMIFS($G$2:$G$49,$A$2:$A$49,A21,$C$2:$C$49,1)/G21</x:f>
        <x:v>3.791630684223055</x:v>
      </x:c>
    </x:row>
    <x:row r="22">
      <x:c r="A22" s="17" t="n">
        <x:v>4</x:v>
      </x:c>
      <x:c r="B22" s="17" t="str">
        <x:v>256x256x256x256</x:v>
      </x:c>
      <x:c r="C22" s="17" t="n">
        <x:v>5</x:v>
      </x:c>
      <x:c r="D22" s="18" t="n">
        <x:v>35.052815</x:v>
      </x:c>
      <x:c r="E22" s="18" t="n">
        <x:v>35.042144</x:v>
      </x:c>
      <x:c r="F22" s="18" t="n">
        <x:v>35.011242</x:v>
      </x:c>
      <x:c r="G22" s="18" t="n">
        <x:f>MEDIAN(D22:F22)</x:f>
        <x:v>35.042144</x:v>
      </x:c>
      <x:c r="H22" s="19" t="n">
        <x:v>8589934592</x:v>
      </x:c>
      <x:c r="I22" s="20" t="n">
        <x:f>H22/G22/1000000000</x:f>
        <x:v>0.24513153624390105</x:v>
      </x:c>
      <x:c r="J22" s="20" t="n">
        <x:f>SUMIFS($G$2:$G$49,$A$2:$A$49,A22,$C$2:$C$49,1)/G22</x:f>
        <x:v>4.6925453533893355</x:v>
      </x:c>
    </x:row>
    <x:row r="23">
      <x:c r="A23" s="17" t="n">
        <x:v>4</x:v>
      </x:c>
      <x:c r="B23" s="17" t="str">
        <x:v>256x256x256x256</x:v>
      </x:c>
      <x:c r="C23" s="17" t="n">
        <x:v>6</x:v>
      </x:c>
      <x:c r="D23" s="18" t="n">
        <x:v>29.63184</x:v>
      </x:c>
      <x:c r="E23" s="18" t="n">
        <x:v>29.506997</x:v>
      </x:c>
      <x:c r="F23" s="18" t="n">
        <x:v>29.619517</x:v>
      </x:c>
      <x:c r="G23" s="18" t="n">
        <x:f>MEDIAN(D23:F23)</x:f>
        <x:v>29.619517</x:v>
      </x:c>
      <x:c r="H23" s="19" t="n">
        <x:v>8589934592</x:v>
      </x:c>
      <x:c r="I23" s="20" t="n">
        <x:f>H23/G23/1000000000</x:f>
        <x:v>0.290009273007389</x:v>
      </x:c>
      <x:c r="J23" s="20" t="n">
        <x:f>SUMIFS($G$2:$G$49,$A$2:$A$49,A23,$C$2:$C$49,1)/G23</x:f>
        <x:v>5.551638468648898</x:v>
      </x:c>
    </x:row>
    <x:row r="24">
      <x:c r="A24" s="17" t="n">
        <x:v>4</x:v>
      </x:c>
      <x:c r="B24" s="17" t="str">
        <x:v>256x256x256x256</x:v>
      </x:c>
      <x:c r="C24" s="17" t="n">
        <x:v>7</x:v>
      </x:c>
      <x:c r="D24" s="18" t="n">
        <x:v>25.240848</x:v>
      </x:c>
      <x:c r="E24" s="18" t="n">
        <x:v>25.231217</x:v>
      </x:c>
      <x:c r="F24" s="18" t="n">
        <x:v>25.260343</x:v>
      </x:c>
      <x:c r="G24" s="18" t="n">
        <x:f>MEDIAN(D24:F24)</x:f>
        <x:v>25.240848</x:v>
      </x:c>
      <x:c r="H24" s="19" t="n">
        <x:v>8589934592</x:v>
      </x:c>
      <x:c r="I24" s="20" t="n">
        <x:f>H24/G24/1000000000</x:f>
        <x:v>0.3403187797810913</x:v>
      </x:c>
      <x:c r="J24" s="20" t="n">
        <x:f>SUMIFS($G$2:$G$49,$A$2:$A$49,A24,$C$2:$C$49,1)/G24</x:f>
        <x:v>6.514711787813151</x:v>
      </x:c>
    </x:row>
    <x:row r="25">
      <x:c r="A25" s="17" t="n">
        <x:v>4</x:v>
      </x:c>
      <x:c r="B25" s="17" t="str">
        <x:v>256x256x256x256</x:v>
      </x:c>
      <x:c r="C25" s="17" t="n">
        <x:v>8</x:v>
      </x:c>
      <x:c r="D25" s="18" t="n">
        <x:v>22.219252</x:v>
      </x:c>
      <x:c r="E25" s="18" t="n">
        <x:v>22.176684</x:v>
      </x:c>
      <x:c r="F25" s="18" t="n">
        <x:v>22.168974</x:v>
      </x:c>
      <x:c r="G25" s="18" t="n">
        <x:f>MEDIAN(D25:F25)</x:f>
        <x:v>22.176684</x:v>
      </x:c>
      <x:c r="H25" s="19" t="n">
        <x:v>8589934592</x:v>
      </x:c>
      <x:c r="I25" s="20" t="n">
        <x:f>H25/G25/1000000000</x:f>
        <x:v>0.38734080316065284</x:v>
      </x:c>
      <x:c r="J25" s="20" t="n">
        <x:f>SUMIFS($G$2:$G$49,$A$2:$A$49,A25,$C$2:$C$49,1)/G25</x:f>
        <x:v>7.4148529148902504</x:v>
      </x:c>
    </x:row>
    <x:row r="26">
      <x:c r="A26" s="17" t="n">
        <x:v>8</x:v>
      </x:c>
      <x:c r="B26" s="17" t="str">
        <x:v>16x16x16x16x16x16x16x16</x:v>
      </x:c>
      <x:c r="C26" s="17" t="n">
        <x:v>1</x:v>
      </x:c>
      <x:c r="D26" s="18" t="n">
        <x:v>154.705298</x:v>
      </x:c>
      <x:c r="E26" s="18" t="n">
        <x:v>154.387001</x:v>
      </x:c>
      <x:c r="F26" s="18" t="n">
        <x:v>154.752003</x:v>
      </x:c>
      <x:c r="G26" s="18" t="n">
        <x:f>MEDIAN(D26:F26)</x:f>
        <x:v>154.705298</x:v>
      </x:c>
      <x:c r="H26" s="19" t="n">
        <x:v>8589934592</x:v>
      </x:c>
      <x:c r="I26" s="20" t="n">
        <x:f>H26/G26/1000000000</x:f>
        <x:v>0.05552450176593176</x:v>
      </x:c>
      <x:c r="J26" s="20" t="n">
        <x:f>SUMIFS($G$2:$G$49,$A$2:$A$49,A26,$C$2:$C$49,1)/G26</x:f>
        <x:v>1</x:v>
      </x:c>
    </x:row>
    <x:row r="27">
      <x:c r="A27" s="17" t="n">
        <x:v>8</x:v>
      </x:c>
      <x:c r="B27" s="17" t="str">
        <x:v>16x16x16x16x16x16x16x16</x:v>
      </x:c>
      <x:c r="C27" s="17" t="n">
        <x:v>2</x:v>
      </x:c>
      <x:c r="D27" s="18" t="n">
        <x:v>77.373743</x:v>
      </x:c>
      <x:c r="E27" s="18" t="n">
        <x:v>77.504006</x:v>
      </x:c>
      <x:c r="F27" s="18" t="n">
        <x:v>77.513836</x:v>
      </x:c>
      <x:c r="G27" s="18" t="n">
        <x:f>MEDIAN(D27:F27)</x:f>
        <x:v>77.504006</x:v>
      </x:c>
      <x:c r="H27" s="19" t="n">
        <x:v>8589934592</x:v>
      </x:c>
      <x:c r="I27" s="20" t="n">
        <x:f>H27/G27/1000000000</x:f>
        <x:v>0.11083213675432467</x:v>
      </x:c>
      <x:c r="J27" s="20" t="n">
        <x:f>SUMIFS($G$2:$G$49,$A$2:$A$49,A27,$C$2:$C$49,1)/G27</x:f>
        <x:v>1.9960942147945229</x:v>
      </x:c>
    </x:row>
    <x:row r="28">
      <x:c r="A28" s="17" t="n">
        <x:v>8</x:v>
      </x:c>
      <x:c r="B28" s="17" t="str">
        <x:v>16x16x16x16x16x16x16x16</x:v>
      </x:c>
      <x:c r="C28" s="17" t="n">
        <x:v>3</x:v>
      </x:c>
      <x:c r="D28" s="18" t="n">
        <x:v>51.73112</x:v>
      </x:c>
      <x:c r="E28" s="18" t="n">
        <x:v>51.623838</x:v>
      </x:c>
      <x:c r="F28" s="18" t="n">
        <x:v>51.542524</x:v>
      </x:c>
      <x:c r="G28" s="18" t="n">
        <x:f>MEDIAN(D28:F28)</x:f>
        <x:v>51.623838</x:v>
      </x:c>
      <x:c r="H28" s="19" t="n">
        <x:v>8589934592</x:v>
      </x:c>
      <x:c r="I28" s="20" t="n">
        <x:f>H28/G28/1000000000</x:f>
        <x:v>0.16639473012448242</x:v>
      </x:c>
      <x:c r="J28" s="20" t="n">
        <x:f>SUMIFS($G$2:$G$49,$A$2:$A$49,A28,$C$2:$C$49,1)/G28</x:f>
        <x:v>2.9967802471408653</x:v>
      </x:c>
    </x:row>
    <x:row r="29">
      <x:c r="A29" s="17" t="n">
        <x:v>8</x:v>
      </x:c>
      <x:c r="B29" s="17" t="str">
        <x:v>16x16x16x16x16x16x16x16</x:v>
      </x:c>
      <x:c r="C29" s="17" t="n">
        <x:v>4</x:v>
      </x:c>
      <x:c r="D29" s="18" t="n">
        <x:v>38.883112</x:v>
      </x:c>
      <x:c r="E29" s="18" t="n">
        <x:v>38.799871</x:v>
      </x:c>
      <x:c r="F29" s="18" t="n">
        <x:v>38.858445</x:v>
      </x:c>
      <x:c r="G29" s="18" t="n">
        <x:f>MEDIAN(D29:F29)</x:f>
        <x:v>38.858445</x:v>
      </x:c>
      <x:c r="H29" s="19" t="n">
        <x:v>8589934592</x:v>
      </x:c>
      <x:c r="I29" s="20" t="n">
        <x:f>H29/G29/1000000000</x:f>
        <x:v>0.22105708532598253</x:v>
      </x:c>
      <x:c r="J29" s="20" t="n">
        <x:f>SUMIFS($G$2:$G$49,$A$2:$A$49,A29,$C$2:$C$49,1)/G29</x:f>
        <x:v>3.981252929704212</x:v>
      </x:c>
    </x:row>
    <x:row r="30">
      <x:c r="A30" s="17" t="n">
        <x:v>8</x:v>
      </x:c>
      <x:c r="B30" s="17" t="str">
        <x:v>16x16x16x16x16x16x16x16</x:v>
      </x:c>
      <x:c r="C30" s="17" t="n">
        <x:v>5</x:v>
      </x:c>
      <x:c r="D30" s="18" t="n">
        <x:v>31.760242</x:v>
      </x:c>
      <x:c r="E30" s="18" t="n">
        <x:v>31.897943</x:v>
      </x:c>
      <x:c r="F30" s="18" t="n">
        <x:v>31.880367</x:v>
      </x:c>
      <x:c r="G30" s="18" t="n">
        <x:f>MEDIAN(D30:F30)</x:f>
        <x:v>31.880367</x:v>
      </x:c>
      <x:c r="H30" s="19" t="n">
        <x:v>8589934592</x:v>
      </x:c>
      <x:c r="I30" s="20" t="n">
        <x:f>H30/G30/1000000000</x:f>
        <x:v>0.2694427762390565</x:v>
      </x:c>
      <x:c r="J30" s="20" t="n">
        <x:f>SUMIFS($G$2:$G$49,$A$2:$A$49,A30,$C$2:$C$49,1)/G30</x:f>
        <x:v>4.852682467551268</x:v>
      </x:c>
    </x:row>
    <x:row r="31">
      <x:c r="A31" s="17" t="n">
        <x:v>8</x:v>
      </x:c>
      <x:c r="B31" s="17" t="str">
        <x:v>16x16x16x16x16x16x16x16</x:v>
      </x:c>
      <x:c r="C31" s="17" t="n">
        <x:v>6</x:v>
      </x:c>
      <x:c r="D31" s="18" t="n">
        <x:v>26.703997</x:v>
      </x:c>
      <x:c r="E31" s="18" t="n">
        <x:v>26.78374</x:v>
      </x:c>
      <x:c r="F31" s="18" t="n">
        <x:v>26.77797</x:v>
      </x:c>
      <x:c r="G31" s="18" t="n">
        <x:f>MEDIAN(D31:F31)</x:f>
        <x:v>26.77797</x:v>
      </x:c>
      <x:c r="H31" s="19" t="n">
        <x:v>8589934592</x:v>
      </x:c>
      <x:c r="I31" s="20" t="n">
        <x:f>H31/G31/1000000000</x:f>
        <x:v>0.3207836363996225</x:v>
      </x:c>
      <x:c r="J31" s="20" t="n">
        <x:f>SUMIFS($G$2:$G$49,$A$2:$A$49,A31,$C$2:$C$49,1)/G31</x:f>
        <x:v>5.777334801704535</x:v>
      </x:c>
    </x:row>
    <x:row r="32">
      <x:c r="A32" s="17" t="n">
        <x:v>8</x:v>
      </x:c>
      <x:c r="B32" s="17" t="str">
        <x:v>16x16x16x16x16x16x16x16</x:v>
      </x:c>
      <x:c r="C32" s="17" t="n">
        <x:v>7</x:v>
      </x:c>
      <x:c r="D32" s="18" t="n">
        <x:v>23.13909</x:v>
      </x:c>
      <x:c r="E32" s="18" t="n">
        <x:v>23.2106</x:v>
      </x:c>
      <x:c r="F32" s="18" t="n">
        <x:v>23.258559</x:v>
      </x:c>
      <x:c r="G32" s="18" t="n">
        <x:f>MEDIAN(D32:F32)</x:f>
        <x:v>23.2106</x:v>
      </x:c>
      <x:c r="H32" s="19" t="n">
        <x:v>8589934592</x:v>
      </x:c>
      <x:c r="I32" s="20" t="n">
        <x:f>H32/G32/1000000000</x:f>
        <x:v>0.37008671003765525</x:v>
      </x:c>
      <x:c r="J32" s="20" t="n">
        <x:f>SUMIFS($G$2:$G$49,$A$2:$A$49,A32,$C$2:$C$49,1)/G32</x:f>
        <x:v>6.665286463943199</x:v>
      </x:c>
    </x:row>
    <x:row r="33">
      <x:c r="A33" s="17" t="n">
        <x:v>8</x:v>
      </x:c>
      <x:c r="B33" s="17" t="str">
        <x:v>16x16x16x16x16x16x16x16</x:v>
      </x:c>
      <x:c r="C33" s="17" t="n">
        <x:v>8</x:v>
      </x:c>
      <x:c r="D33" s="18" t="n">
        <x:v>20.665294</x:v>
      </x:c>
      <x:c r="E33" s="18" t="n">
        <x:v>20.691197</x:v>
      </x:c>
      <x:c r="F33" s="18" t="n">
        <x:v>20.641526</x:v>
      </x:c>
      <x:c r="G33" s="18" t="n">
        <x:f>MEDIAN(D33:F33)</x:f>
        <x:v>20.665294</x:v>
      </x:c>
      <x:c r="H33" s="19" t="n">
        <x:v>8589934592</x:v>
      </x:c>
      <x:c r="I33" s="20" t="n">
        <x:f>H33/G33/1000000000</x:f>
        <x:v>0.41566960489407995</x:v>
      </x:c>
      <x:c r="J33" s="20" t="n">
        <x:f>SUMIFS($G$2:$G$49,$A$2:$A$49,A33,$C$2:$C$49,1)/G33</x:f>
        <x:v>7.486237456868507</x:v>
      </x:c>
    </x:row>
    <x:row r="34">
      <x:c r="A34" s="17" t="n">
        <x:v>16</x:v>
      </x:c>
      <x:c r="B34" s="17" t="str">
        <x:v>4x4x4x4x4x4x4x4x4x4x4x4x4x4x4x4</x:v>
      </x:c>
      <x:c r="C34" s="17" t="n">
        <x:v>1</x:v>
      </x:c>
      <x:c r="D34" s="18" t="n">
        <x:v>334.668378</x:v>
      </x:c>
      <x:c r="E34" s="18" t="n">
        <x:v>334.6655</x:v>
      </x:c>
      <x:c r="F34" s="18" t="n">
        <x:v>334.455729</x:v>
      </x:c>
      <x:c r="G34" s="18" t="n">
        <x:f>MEDIAN(D34:F34)</x:f>
        <x:v>334.6655</x:v>
      </x:c>
      <x:c r="H34" s="19" t="n">
        <x:v>8589934592</x:v>
      </x:c>
      <x:c r="I34" s="20" t="n">
        <x:f>H34/G34/1000000000</x:f>
        <x:v>0.025667224712436747</x:v>
      </x:c>
      <x:c r="J34" s="20" t="n">
        <x:f>SUMIFS($G$2:$G$49,$A$2:$A$49,A34,$C$2:$C$49,1)/G34</x:f>
        <x:v>1</x:v>
      </x:c>
    </x:row>
    <x:row r="35">
      <x:c r="A35" s="17" t="n">
        <x:v>16</x:v>
      </x:c>
      <x:c r="B35" s="17" t="str">
        <x:v>4x4x4x4x4x4x4x4x4x4x4x4x4x4x4x4</x:v>
      </x:c>
      <x:c r="C35" s="17" t="n">
        <x:v>2</x:v>
      </x:c>
      <x:c r="D35" s="18" t="n">
        <x:v>167.820126</x:v>
      </x:c>
      <x:c r="E35" s="18" t="n">
        <x:v>167.842886</x:v>
      </x:c>
      <x:c r="F35" s="18" t="n">
        <x:v>167.914723</x:v>
      </x:c>
      <x:c r="G35" s="18" t="n">
        <x:f>MEDIAN(D35:F35)</x:f>
        <x:v>167.842886</x:v>
      </x:c>
      <x:c r="H35" s="19" t="n">
        <x:v>8589934592</x:v>
      </x:c>
      <x:c r="I35" s="20" t="n">
        <x:f>H35/G35/1000000000</x:f>
        <x:v>0.05117842523275011</x:v>
      </x:c>
      <x:c r="J35" s="20" t="n">
        <x:f>SUMIFS($G$2:$G$49,$A$2:$A$49,A35,$C$2:$C$49,1)/G35</x:f>
        <x:v>1.9939212675358788</x:v>
      </x:c>
    </x:row>
    <x:row r="36">
      <x:c r="A36" s="17" t="n">
        <x:v>16</x:v>
      </x:c>
      <x:c r="B36" s="17" t="str">
        <x:v>4x4x4x4x4x4x4x4x4x4x4x4x4x4x4x4</x:v>
      </x:c>
      <x:c r="C36" s="17" t="n">
        <x:v>3</x:v>
      </x:c>
      <x:c r="D36" s="18" t="n">
        <x:v>111.780359</x:v>
      </x:c>
      <x:c r="E36" s="18" t="n">
        <x:v>111.847597</x:v>
      </x:c>
      <x:c r="F36" s="18" t="n">
        <x:v>111.84377</x:v>
      </x:c>
      <x:c r="G36" s="18" t="n">
        <x:f>MEDIAN(D36:F36)</x:f>
        <x:v>111.84377</x:v>
      </x:c>
      <x:c r="H36" s="19" t="n">
        <x:v>8589934592</x:v>
      </x:c>
      <x:c r="I36" s="20" t="n">
        <x:f>H36/G36/1000000000</x:f>
        <x:v>0.0768029778681459</x:v>
      </x:c>
      <x:c r="J36" s="20" t="n">
        <x:f>SUMIFS($G$2:$G$49,$A$2:$A$49,A36,$C$2:$C$49,1)/G36</x:f>
        <x:v>2.9922587552261515</x:v>
      </x:c>
    </x:row>
    <x:row r="37">
      <x:c r="A37" s="17" t="n">
        <x:v>16</x:v>
      </x:c>
      <x:c r="B37" s="17" t="str">
        <x:v>4x4x4x4x4x4x4x4x4x4x4x4x4x4x4x4</x:v>
      </x:c>
      <x:c r="C37" s="17" t="n">
        <x:v>4</x:v>
      </x:c>
      <x:c r="D37" s="18" t="n">
        <x:v>83.889795</x:v>
      </x:c>
      <x:c r="E37" s="18" t="n">
        <x:v>83.897422</x:v>
      </x:c>
      <x:c r="F37" s="18" t="n">
        <x:v>83.872281</x:v>
      </x:c>
      <x:c r="G37" s="18" t="n">
        <x:f>MEDIAN(D37:F37)</x:f>
        <x:v>83.889795</x:v>
      </x:c>
      <x:c r="H37" s="19" t="n">
        <x:v>8589934592</x:v>
      </x:c>
      <x:c r="I37" s="20" t="n">
        <x:f>H37/G37/1000000000</x:f>
        <x:v>0.10239546528871597</x:v>
      </x:c>
      <x:c r="J37" s="20" t="n">
        <x:f>SUMIFS($G$2:$G$49,$A$2:$A$49,A37,$C$2:$C$49,1)/G37</x:f>
        <x:v>3.9893469759939215</x:v>
      </x:c>
    </x:row>
    <x:row r="38">
      <x:c r="A38" s="17" t="n">
        <x:v>16</x:v>
      </x:c>
      <x:c r="B38" s="17" t="str">
        <x:v>4x4x4x4x4x4x4x4x4x4x4x4x4x4x4x4</x:v>
      </x:c>
      <x:c r="C38" s="17" t="n">
        <x:v>5</x:v>
      </x:c>
      <x:c r="D38" s="18" t="n">
        <x:v>68.48679</x:v>
      </x:c>
      <x:c r="E38" s="18" t="n">
        <x:v>68.469063</x:v>
      </x:c>
      <x:c r="F38" s="18" t="n">
        <x:v>68.03526</x:v>
      </x:c>
      <x:c r="G38" s="18" t="n">
        <x:f>MEDIAN(D38:F38)</x:f>
        <x:v>68.469063</x:v>
      </x:c>
      <x:c r="H38" s="19" t="n">
        <x:v>8589934592</x:v>
      </x:c>
      <x:c r="I38" s="20" t="n">
        <x:f>H38/G38/1000000000</x:f>
        <x:v>0.12545716584437558</x:v>
      </x:c>
      <x:c r="J38" s="20" t="n">
        <x:f>SUMIFS($G$2:$G$49,$A$2:$A$49,A38,$C$2:$C$49,1)/G38</x:f>
        <x:v>4.887835254880003</x:v>
      </x:c>
    </x:row>
    <x:row r="39">
      <x:c r="A39" s="17" t="n">
        <x:v>16</x:v>
      </x:c>
      <x:c r="B39" s="17" t="str">
        <x:v>4x4x4x4x4x4x4x4x4x4x4x4x4x4x4x4</x:v>
      </x:c>
      <x:c r="C39" s="17" t="n">
        <x:v>6</x:v>
      </x:c>
      <x:c r="D39" s="18" t="n">
        <x:v>52.997332</x:v>
      </x:c>
      <x:c r="E39" s="18" t="n">
        <x:v>56.747327</x:v>
      </x:c>
      <x:c r="F39" s="18" t="n">
        <x:v>57.106823</x:v>
      </x:c>
      <x:c r="G39" s="18" t="n">
        <x:f>MEDIAN(D39:F39)</x:f>
        <x:v>56.747327</x:v>
      </x:c>
      <x:c r="H39" s="19" t="n">
        <x:v>8589934592</x:v>
      </x:c>
      <x:c r="I39" s="20" t="n">
        <x:f>H39/G39/1000000000</x:f>
        <x:v>0.15137161600580765</x:v>
      </x:c>
      <x:c r="J39" s="20" t="n">
        <x:f>SUMIFS($G$2:$G$49,$A$2:$A$49,A39,$C$2:$C$49,1)/G39</x:f>
        <x:v>5.897467205812179</x:v>
      </x:c>
    </x:row>
    <x:row r="40">
      <x:c r="A40" s="17" t="n">
        <x:v>16</x:v>
      </x:c>
      <x:c r="B40" s="17" t="str">
        <x:v>4x4x4x4x4x4x4x4x4x4x4x4x4x4x4x4</x:v>
      </x:c>
      <x:c r="C40" s="17" t="n">
        <x:v>7</x:v>
      </x:c>
      <x:c r="D40" s="18" t="n">
        <x:v>48.92653</x:v>
      </x:c>
      <x:c r="E40" s="18" t="n">
        <x:v>48.971018</x:v>
      </x:c>
      <x:c r="F40" s="18" t="n">
        <x:v>48.951577</x:v>
      </x:c>
      <x:c r="G40" s="18" t="n">
        <x:f>MEDIAN(D40:F40)</x:f>
        <x:v>48.951577</x:v>
      </x:c>
      <x:c r="H40" s="19" t="n">
        <x:v>8589934592</x:v>
      </x:c>
      <x:c r="I40" s="20" t="n">
        <x:f>H40/G40/1000000000</x:f>
        <x:v>0.17547819944595452</x:v>
      </x:c>
      <x:c r="J40" s="20" t="n">
        <x:f>SUMIFS($G$2:$G$49,$A$2:$A$49,A40,$C$2:$C$49,1)/G40</x:f>
        <x:v>6.836664322377193</x:v>
      </x:c>
    </x:row>
    <x:row r="41">
      <x:c r="A41" s="17" t="n">
        <x:v>16</x:v>
      </x:c>
      <x:c r="B41" s="17" t="str">
        <x:v>4x4x4x4x4x4x4x4x4x4x4x4x4x4x4x4</x:v>
      </x:c>
      <x:c r="C41" s="17" t="n">
        <x:v>8</x:v>
      </x:c>
      <x:c r="D41" s="18" t="n">
        <x:v>42.843739</x:v>
      </x:c>
      <x:c r="E41" s="18" t="n">
        <x:v>42.838779</x:v>
      </x:c>
      <x:c r="F41" s="18" t="n">
        <x:v>42.867436</x:v>
      </x:c>
      <x:c r="G41" s="18" t="n">
        <x:f>MEDIAN(D41:F41)</x:f>
        <x:v>42.843739</x:v>
      </x:c>
      <x:c r="H41" s="19" t="n">
        <x:v>8589934592</x:v>
      </x:c>
      <x:c r="I41" s="20" t="n">
        <x:f>H41/G41/1000000000</x:f>
        <x:v>0.200494513142282</x:v>
      </x:c>
      <x:c r="J41" s="20" t="n">
        <x:f>SUMIFS($G$2:$G$49,$A$2:$A$49,A41,$C$2:$C$49,1)/G41</x:f>
        <x:v>7.811304704288298</x:v>
      </x:c>
    </x:row>
    <x:row r="42">
      <x:c r="A42" s="17" t="n">
        <x:v>32</x:v>
      </x:c>
      <x:c r="B42" s="17" t="str">
        <x:v>2x2x2x2x2x2x2x2x2x2x2x2x2x2x2x2x2x2x2x2x2x2x2x2x2x2x2x2x2x2x2x2</x:v>
      </x:c>
      <x:c r="C42" s="17" t="n">
        <x:v>1</x:v>
      </x:c>
      <x:c r="D42" s="18" t="n">
        <x:v>769.639202</x:v>
      </x:c>
      <x:c r="E42" s="18" t="n">
        <x:v>769.698768</x:v>
      </x:c>
      <x:c r="F42" s="18" t="n">
        <x:v>769.8701</x:v>
      </x:c>
      <x:c r="G42" s="18" t="n">
        <x:f>MEDIAN(D42:F42)</x:f>
        <x:v>769.698768</x:v>
      </x:c>
      <x:c r="H42" s="19" t="n">
        <x:v>8589934592</x:v>
      </x:c>
      <x:c r="I42" s="20" t="n">
        <x:f>H42/G42/1000000000</x:f>
        <x:v>0.011160125167304413</x:v>
      </x:c>
      <x:c r="J42" s="20" t="n">
        <x:f>SUMIFS($G$2:$G$49,$A$2:$A$49,A42,$C$2:$C$49,1)/G42</x:f>
        <x:v>1</x:v>
      </x:c>
    </x:row>
    <x:row r="43">
      <x:c r="A43" s="17" t="n">
        <x:v>32</x:v>
      </x:c>
      <x:c r="B43" s="17" t="str">
        <x:v>2x2x2x2x2x2x2x2x2x2x2x2x2x2x2x2x2x2x2x2x2x2x2x2x2x2x2x2x2x2x2x2</x:v>
      </x:c>
      <x:c r="C43" s="17" t="n">
        <x:v>2</x:v>
      </x:c>
      <x:c r="D43" s="18" t="n">
        <x:v>386.602613</x:v>
      </x:c>
      <x:c r="E43" s="18" t="n">
        <x:v>386.644493</x:v>
      </x:c>
      <x:c r="F43" s="18" t="n">
        <x:v>386.617865</x:v>
      </x:c>
      <x:c r="G43" s="18" t="n">
        <x:f>MEDIAN(D43:F43)</x:f>
        <x:v>386.617865</x:v>
      </x:c>
      <x:c r="H43" s="19" t="n">
        <x:v>8589934592</x:v>
      </x:c>
      <x:c r="I43" s="20" t="n">
        <x:f>H43/G43/1000000000</x:f>
        <x:v>0.02221815226257069</x:v>
      </x:c>
      <x:c r="J43" s="20" t="n">
        <x:f>SUMIFS($G$2:$G$49,$A$2:$A$49,A43,$C$2:$C$49,1)/G43</x:f>
        <x:v>1.990851529843299</x:v>
      </x:c>
    </x:row>
    <x:row r="44">
      <x:c r="A44" s="17" t="n">
        <x:v>32</x:v>
      </x:c>
      <x:c r="B44" s="17" t="str">
        <x:v>2x2x2x2x2x2x2x2x2x2x2x2x2x2x2x2x2x2x2x2x2x2x2x2x2x2x2x2x2x2x2x2</x:v>
      </x:c>
      <x:c r="C44" s="17" t="n">
        <x:v>3</x:v>
      </x:c>
      <x:c r="D44" s="18" t="n">
        <x:v>257.326239</x:v>
      </x:c>
      <x:c r="E44" s="18" t="n">
        <x:v>257.343196</x:v>
      </x:c>
      <x:c r="F44" s="18" t="n">
        <x:v>257.367045</x:v>
      </x:c>
      <x:c r="G44" s="18" t="n">
        <x:f>MEDIAN(D44:F44)</x:f>
        <x:v>257.343196</x:v>
      </x:c>
      <x:c r="H44" s="19" t="n">
        <x:v>8589934592</x:v>
      </x:c>
      <x:c r="I44" s="20" t="n">
        <x:f>H44/G44/1000000000</x:f>
        <x:v>0.03337929553031587</x:v>
      </x:c>
      <x:c r="J44" s="20" t="n">
        <x:f>SUMIFS($G$2:$G$49,$A$2:$A$49,A44,$C$2:$C$49,1)/G44</x:f>
        <x:v>2.990942756458189</x:v>
      </x:c>
    </x:row>
    <x:row r="45">
      <x:c r="A45" s="17" t="n">
        <x:v>32</x:v>
      </x:c>
      <x:c r="B45" s="17" t="str">
        <x:v>2x2x2x2x2x2x2x2x2x2x2x2x2x2x2x2x2x2x2x2x2x2x2x2x2x2x2x2x2x2x2x2</x:v>
      </x:c>
      <x:c r="C45" s="17" t="n">
        <x:v>4</x:v>
      </x:c>
      <x:c r="D45" s="18" t="n">
        <x:v>193.054166</x:v>
      </x:c>
      <x:c r="E45" s="18" t="n">
        <x:v>193.055068</x:v>
      </x:c>
      <x:c r="F45" s="18" t="n">
        <x:v>193.040742</x:v>
      </x:c>
      <x:c r="G45" s="18" t="n">
        <x:f>MEDIAN(D45:F45)</x:f>
        <x:v>193.054166</x:v>
      </x:c>
      <x:c r="H45" s="19" t="n">
        <x:v>8589934592</x:v>
      </x:c>
      <x:c r="I45" s="20" t="n">
        <x:f>H45/G45/1000000000</x:f>
        <x:v>0.04449494548592129</x:v>
      </x:c>
      <x:c r="J45" s="20" t="n">
        <x:f>SUMIFS($G$2:$G$49,$A$2:$A$49,A45,$C$2:$C$49,1)/G45</x:f>
        <x:v>3.986957567131703</x:v>
      </x:c>
    </x:row>
    <x:row r="46">
      <x:c r="A46" s="17" t="n">
        <x:v>32</x:v>
      </x:c>
      <x:c r="B46" s="17" t="str">
        <x:v>2x2x2x2x2x2x2x2x2x2x2x2x2x2x2x2x2x2x2x2x2x2x2x2x2x2x2x2x2x2x2x2</x:v>
      </x:c>
      <x:c r="C46" s="17" t="n">
        <x:v>5</x:v>
      </x:c>
      <x:c r="D46" s="18" t="n">
        <x:v>157.547446</x:v>
      </x:c>
      <x:c r="E46" s="18" t="n">
        <x:v>157.535403</x:v>
      </x:c>
      <x:c r="F46" s="18" t="n">
        <x:v>157.54916</x:v>
      </x:c>
      <x:c r="G46" s="18" t="n">
        <x:f>MEDIAN(D46:F46)</x:f>
        <x:v>157.547446</x:v>
      </x:c>
      <x:c r="H46" s="19" t="n">
        <x:v>8589934592</x:v>
      </x:c>
      <x:c r="I46" s="20" t="n">
        <x:f>H46/G46/1000000000</x:f>
        <x:v>0.054522842547380934</x:v>
      </x:c>
      <x:c r="J46" s="20" t="n">
        <x:f>SUMIFS($G$2:$G$49,$A$2:$A$49,A46,$C$2:$C$49,1)/G46</x:f>
        <x:v>4.885504573650784</x:v>
      </x:c>
    </x:row>
    <x:row r="47">
      <x:c r="A47" s="17" t="n">
        <x:v>32</x:v>
      </x:c>
      <x:c r="B47" s="17" t="str">
        <x:v>2x2x2x2x2x2x2x2x2x2x2x2x2x2x2x2x2x2x2x2x2x2x2x2x2x2x2x2x2x2x2x2</x:v>
      </x:c>
      <x:c r="C47" s="17" t="n">
        <x:v>6</x:v>
      </x:c>
      <x:c r="D47" s="18" t="n">
        <x:v>131.321345</x:v>
      </x:c>
      <x:c r="E47" s="18" t="n">
        <x:v>131.322639</x:v>
      </x:c>
      <x:c r="F47" s="18" t="n">
        <x:v>131.294705</x:v>
      </x:c>
      <x:c r="G47" s="18" t="n">
        <x:f>MEDIAN(D47:F47)</x:f>
        <x:v>131.321345</x:v>
      </x:c>
      <x:c r="H47" s="19" t="n">
        <x:v>8589934592</x:v>
      </x:c>
      <x:c r="I47" s="20" t="n">
        <x:f>H47/G47/1000000000</x:f>
        <x:v>0.06541156422057663</x:v>
      </x:c>
      <x:c r="J47" s="20" t="n">
        <x:f>SUMIFS($G$2:$G$49,$A$2:$A$49,A47,$C$2:$C$49,1)/G47</x:f>
        <x:v>5.8611855368980565</x:v>
      </x:c>
    </x:row>
    <x:row r="48">
      <x:c r="A48" s="17" t="n">
        <x:v>32</x:v>
      </x:c>
      <x:c r="B48" s="17" t="str">
        <x:v>2x2x2x2x2x2x2x2x2x2x2x2x2x2x2x2x2x2x2x2x2x2x2x2x2x2x2x2x2x2x2x2</x:v>
      </x:c>
      <x:c r="C48" s="17" t="n">
        <x:v>7</x:v>
      </x:c>
      <x:c r="D48" s="18" t="n">
        <x:v>111.241311</x:v>
      </x:c>
      <x:c r="E48" s="18" t="n">
        <x:v>109.885391</x:v>
      </x:c>
      <x:c r="F48" s="18" t="n">
        <x:v>109.893823</x:v>
      </x:c>
      <x:c r="G48" s="18" t="n">
        <x:f>MEDIAN(D48:F48)</x:f>
        <x:v>109.893823</x:v>
      </x:c>
      <x:c r="H48" s="19" t="n">
        <x:v>8589934592</x:v>
      </x:c>
      <x:c r="I48" s="20" t="n">
        <x:f>H48/G48/1000000000</x:f>
        <x:v>0.07816576362076329</x:v>
      </x:c>
      <x:c r="J48" s="20" t="n">
        <x:f>SUMIFS($G$2:$G$49,$A$2:$A$49,A48,$C$2:$C$49,1)/G48</x:f>
        <x:v>7.004022127795118</x:v>
      </x:c>
    </x:row>
    <x:row r="49">
      <x:c r="A49" s="17" t="n">
        <x:v>32</x:v>
      </x:c>
      <x:c r="B49" s="17" t="str">
        <x:v>2x2x2x2x2x2x2x2x2x2x2x2x2x2x2x2x2x2x2x2x2x2x2x2x2x2x2x2x2x2x2x2</x:v>
      </x:c>
      <x:c r="C49" s="17" t="n">
        <x:v>8</x:v>
      </x:c>
      <x:c r="D49" s="18" t="n">
        <x:v>96.361755</x:v>
      </x:c>
      <x:c r="E49" s="18" t="n">
        <x:v>96.226687</x:v>
      </x:c>
      <x:c r="F49" s="18" t="n">
        <x:v>96.352363</x:v>
      </x:c>
      <x:c r="G49" s="18" t="n">
        <x:f>MEDIAN(D49:F49)</x:f>
        <x:v>96.352363</x:v>
      </x:c>
      <x:c r="H49" s="19" t="n">
        <x:v>8589934592</x:v>
      </x:c>
      <x:c r="I49" s="20" t="n">
        <x:f>H49/G49/1000000000</x:f>
        <x:v>0.08915126027578586</x:v>
      </x:c>
      <x:c r="J49" s="20" t="n">
        <x:f>SUMIFS($G$2:$G$49,$A$2:$A$49,A49,$C$2:$C$49,1)/G49</x:f>
        <x:v>7.9883745871390825</x:v>
      </x:c>
    </x:row>
  </x:sheetData>
  <x:pageMargins left="0.7" right="0.7" top="0.75" bottom="0.75" header="0.3" footer="0.3"/>
  <x:tableParts count="1">
    <x:tablePart xmlns:r="http://schemas.openxmlformats.org/officeDocument/2006/relationships" r:id="R58349d0c41ed42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>
      <x:c r="A1" s="5" t="str">
        <x:v>Threads</x:v>
      </x:c>
      <x:c r="B1" s="5" t="str">
        <x:v>Rank 1</x:v>
      </x:c>
      <x:c r="C1" s="5" t="str">
        <x:v>Rank 2</x:v>
      </x:c>
      <x:c r="D1" s="5" t="str">
        <x:v>Rank 4</x:v>
      </x:c>
      <x:c r="E1" s="5" t="str">
        <x:v>Rank 8</x:v>
      </x:c>
      <x:c r="F1" s="5" t="str">
        <x:v>Rank 16</x:v>
      </x:c>
      <x:c r="G1" s="5" t="str">
        <x:v>Rank 32</x:v>
      </x:c>
    </x:row>
    <x:row r="2">
      <x:c r="A2" s="28" t="n">
        <x:v>1</x:v>
      </x:c>
      <x:c r="B2" s="28" t="n">
        <x:f>Results!I2</x:f>
        <x:v>0.5543432571212031</x:v>
      </x:c>
      <x:c r="C2" s="28" t="n">
        <x:f>Results!I10</x:f>
        <x:v>0.05028444082945279</x:v>
      </x:c>
      <x:c r="D2" s="28" t="n">
        <x:f>Results!I18</x:f>
        <x:v>0.05223850123618885</x:v>
      </x:c>
      <x:c r="E2" s="28" t="n">
        <x:f>Results!I26</x:f>
        <x:v>0.05552450176593176</x:v>
      </x:c>
      <x:c r="F2" s="28" t="n">
        <x:f>Results!I34</x:f>
        <x:v>0.025667224712436747</x:v>
      </x:c>
      <x:c r="G2" s="28" t="n">
        <x:f>Results!I42</x:f>
        <x:v>0.011160125167304413</x:v>
      </x:c>
    </x:row>
    <x:row r="3">
      <x:c r="A3" s="28" t="n">
        <x:v>2</x:v>
      </x:c>
      <x:c r="B3" s="28" t="n">
        <x:f>Results!I3</x:f>
        <x:v>1.1083782279826215</x:v>
      </x:c>
      <x:c r="C3" s="28" t="n">
        <x:f>Results!I11</x:f>
        <x:v>0.09831178261609212</x:v>
      </x:c>
      <x:c r="D3" s="28" t="n">
        <x:f>Results!I19</x:f>
        <x:v>0.10330191750984444</x:v>
      </x:c>
      <x:c r="E3" s="28" t="n">
        <x:f>Results!I27</x:f>
        <x:v>0.11083213675432467</x:v>
      </x:c>
      <x:c r="F3" s="28" t="n">
        <x:f>Results!I35</x:f>
        <x:v>0.05117842523275011</x:v>
      </x:c>
      <x:c r="G3" s="28" t="n">
        <x:f>Results!I43</x:f>
        <x:v>0.02221815226257069</x:v>
      </x:c>
    </x:row>
    <x:row r="4">
      <x:c r="A4" s="28" t="n">
        <x:v>3</x:v>
      </x:c>
      <x:c r="B4" s="28" t="n">
        <x:f>Results!I4</x:f>
        <x:v>1.6615166207086511</x:v>
      </x:c>
      <x:c r="C4" s="28" t="n">
        <x:f>Results!I12</x:f>
        <x:v>0.1444968403733773</x:v>
      </x:c>
      <x:c r="D4" s="28" t="n">
        <x:f>Results!I20</x:f>
        <x:v>0.14870147726088684</x:v>
      </x:c>
      <x:c r="E4" s="28" t="n">
        <x:f>Results!I28</x:f>
        <x:v>0.16639473012448242</x:v>
      </x:c>
      <x:c r="F4" s="28" t="n">
        <x:f>Results!I36</x:f>
        <x:v>0.0768029778681459</x:v>
      </x:c>
      <x:c r="G4" s="28" t="n">
        <x:f>Results!I44</x:f>
        <x:v>0.03337929553031587</x:v>
      </x:c>
    </x:row>
    <x:row r="5">
      <x:c r="A5" s="28" t="n">
        <x:v>4</x:v>
      </x:c>
      <x:c r="B5" s="28" t="n">
        <x:f>Results!I5</x:f>
        <x:v>2.2138065242070892</x:v>
      </x:c>
      <x:c r="C5" s="28" t="n">
        <x:f>Results!I13</x:f>
        <x:v>0.19005728206370412</x:v>
      </x:c>
      <x:c r="D5" s="28" t="n">
        <x:f>Results!I21</x:f>
        <x:v>0.19806910418495766</x:v>
      </x:c>
      <x:c r="E5" s="28" t="n">
        <x:f>Results!I29</x:f>
        <x:v>0.22105708532598253</x:v>
      </x:c>
      <x:c r="F5" s="28" t="n">
        <x:f>Results!I37</x:f>
        <x:v>0.10239546528871597</x:v>
      </x:c>
      <x:c r="G5" s="28" t="n">
        <x:f>Results!I45</x:f>
        <x:v>0.04449494548592129</x:v>
      </x:c>
    </x:row>
    <x:row r="6">
      <x:c r="A6" s="28" t="n">
        <x:v>5</x:v>
      </x:c>
      <x:c r="B6" s="28" t="n">
        <x:f>Results!I6</x:f>
        <x:v>2.7102587045243367</x:v>
      </x:c>
      <x:c r="C6" s="28" t="n">
        <x:f>Results!I14</x:f>
        <x:v>0.23747649834228254</x:v>
      </x:c>
      <x:c r="D6" s="28" t="n">
        <x:f>Results!I22</x:f>
        <x:v>0.24513153624390105</x:v>
      </x:c>
      <x:c r="E6" s="28" t="n">
        <x:f>Results!I30</x:f>
        <x:v>0.2694427762390565</x:v>
      </x:c>
      <x:c r="F6" s="28" t="n">
        <x:f>Results!I38</x:f>
        <x:v>0.12545716584437558</x:v>
      </x:c>
      <x:c r="G6" s="28" t="n">
        <x:f>Results!I46</x:f>
        <x:v>0.054522842547380934</x:v>
      </x:c>
    </x:row>
    <x:row r="7">
      <x:c r="A7" s="28" t="n">
        <x:v>6</x:v>
      </x:c>
      <x:c r="B7" s="28" t="n">
        <x:f>Results!I7</x:f>
        <x:v>3.2518304810512237</x:v>
      </x:c>
      <x:c r="C7" s="28" t="n">
        <x:f>Results!I15</x:f>
        <x:v>0.28053206894596733</x:v>
      </x:c>
      <x:c r="D7" s="28" t="n">
        <x:f>Results!I23</x:f>
        <x:v>0.290009273007389</x:v>
      </x:c>
      <x:c r="E7" s="28" t="n">
        <x:f>Results!I31</x:f>
        <x:v>0.3207836363996225</x:v>
      </x:c>
      <x:c r="F7" s="28" t="n">
        <x:f>Results!I39</x:f>
        <x:v>0.15137161600580765</x:v>
      </x:c>
      <x:c r="G7" s="28" t="n">
        <x:f>Results!I47</x:f>
        <x:v>0.06541156422057663</x:v>
      </x:c>
    </x:row>
    <x:row r="8">
      <x:c r="A8" s="28" t="n">
        <x:v>7</x:v>
      </x:c>
      <x:c r="B8" s="28" t="n">
        <x:f>Results!I8</x:f>
        <x:v>3.7921324316318343</x:v>
      </x:c>
      <x:c r="C8" s="28" t="n">
        <x:f>Results!I16</x:f>
        <x:v>0.33062056613371943</x:v>
      </x:c>
      <x:c r="D8" s="28" t="n">
        <x:f>Results!I24</x:f>
        <x:v>0.3403187797810913</x:v>
      </x:c>
      <x:c r="E8" s="28" t="n">
        <x:f>Results!I32</x:f>
        <x:v>0.37008671003765525</x:v>
      </x:c>
      <x:c r="F8" s="28" t="n">
        <x:f>Results!I40</x:f>
        <x:v>0.17547819944595452</x:v>
      </x:c>
      <x:c r="G8" s="28" t="n">
        <x:f>Results!I48</x:f>
        <x:v>0.07816576362076329</x:v>
      </x:c>
    </x:row>
    <x:row r="9">
      <x:c r="A9" s="28" t="n">
        <x:v>8</x:v>
      </x:c>
      <x:c r="B9" s="28" t="n">
        <x:f>Results!I9</x:f>
        <x:v>4.3300580867348994</x:v>
      </x:c>
      <x:c r="C9" s="28" t="n">
        <x:f>Results!I17</x:f>
        <x:v>0.36387285973670397</x:v>
      </x:c>
      <x:c r="D9" s="28" t="n">
        <x:f>Results!I25</x:f>
        <x:v>0.38734080316065284</x:v>
      </x:c>
      <x:c r="E9" s="28" t="n">
        <x:f>Results!I33</x:f>
        <x:v>0.41566960489407995</x:v>
      </x:c>
      <x:c r="F9" s="28" t="n">
        <x:f>Results!I41</x:f>
        <x:v>0.200494513142282</x:v>
      </x:c>
      <x:c r="G9" s="28" t="n">
        <x:f>Results!I49</x:f>
        <x:v>0.08915126027578586</x:v>
      </x:c>
    </x:row>
    <x:row r="10">
      <x:c r="A10" s="29"/>
      <x:c r="B10" s="29"/>
      <x:c r="C10" s="29"/>
      <x:c r="D10" s="29"/>
      <x:c r="E10" s="29"/>
      <x:c r="F10" s="29"/>
      <x:c r="G10" s="29"/>
    </x:row>
    <x:row r="11">
      <x:c r="A11" s="29"/>
      <x:c r="B11" s="29"/>
      <x:c r="C11" s="29"/>
      <x:c r="D11" s="29"/>
      <x:c r="E11" s="29"/>
      <x:c r="F11" s="29"/>
      <x:c r="G11" s="29"/>
    </x:row>
    <x:row r="12">
      <x:c r="A12" s="5" t="str">
        <x:v>Threads</x:v>
      </x:c>
      <x:c r="B12" s="5" t="str">
        <x:v>Rank 1</x:v>
      </x:c>
      <x:c r="C12" s="5" t="str">
        <x:v>Rank 2</x:v>
      </x:c>
      <x:c r="D12" s="5" t="str">
        <x:v>Rank 4</x:v>
      </x:c>
      <x:c r="E12" s="5" t="str">
        <x:v>Rank 8</x:v>
      </x:c>
      <x:c r="F12" s="5" t="str">
        <x:v>Rank 16</x:v>
      </x:c>
      <x:c r="G12" s="5" t="str">
        <x:v>Rank 32</x:v>
      </x:c>
    </x:row>
    <x:row r="13">
      <x:c r="A13" s="30" t="n">
        <x:v>1</x:v>
      </x:c>
      <x:c r="B13" s="30" t="n">
        <x:f>Results!J2</x:f>
        <x:v>1</x:v>
      </x:c>
      <x:c r="C13" s="30" t="n">
        <x:f>Results!J10</x:f>
        <x:v>1</x:v>
      </x:c>
      <x:c r="D13" s="30" t="n">
        <x:f>Results!J18</x:f>
        <x:v>1</x:v>
      </x:c>
      <x:c r="E13" s="30" t="n">
        <x:f>Results!J26</x:f>
        <x:v>1</x:v>
      </x:c>
      <x:c r="F13" s="30" t="n">
        <x:f>Results!J34</x:f>
        <x:v>1</x:v>
      </x:c>
      <x:c r="G13" s="30" t="n">
        <x:f>Results!J42</x:f>
        <x:v>1</x:v>
      </x:c>
    </x:row>
    <x:row r="14">
      <x:c r="A14" s="30" t="n">
        <x:v>2</x:v>
      </x:c>
      <x:c r="B14" s="30" t="n">
        <x:f>Results!J3</x:f>
        <x:v>1.9994438711830176</x:v>
      </x:c>
      <x:c r="C14" s="30" t="n">
        <x:f>Results!J11</x:f>
        <x:v>1.9551133709437325</x:v>
      </x:c>
      <x:c r="D14" s="30" t="n">
        <x:f>Results!J19</x:f>
        <x:v>1.9775053852096505</x:v>
      </x:c>
      <x:c r="E14" s="30" t="n">
        <x:f>Results!J27</x:f>
        <x:v>1.9960942147945229</x:v>
      </x:c>
      <x:c r="F14" s="30" t="n">
        <x:f>Results!J35</x:f>
        <x:v>1.9939212675358788</x:v>
      </x:c>
      <x:c r="G14" s="30" t="n">
        <x:f>Results!J43</x:f>
        <x:v>1.990851529843299</x:v>
      </x:c>
    </x:row>
    <x:row r="15">
      <x:c r="A15" s="30" t="n">
        <x:v>3</x:v>
      </x:c>
      <x:c r="B15" s="30" t="n">
        <x:f>Results!J4</x:f>
        <x:v>2.9972703723991945</x:v>
      </x:c>
      <x:c r="C15" s="30" t="n">
        <x:f>Results!J12</x:f>
        <x:v>2.873589483941165</x:v>
      </x:c>
      <x:c r="D15" s="30" t="n">
        <x:f>Results!J20</x:f>
        <x:v>2.846587741645852</x:v>
      </x:c>
      <x:c r="E15" s="30" t="n">
        <x:f>Results!J28</x:f>
        <x:v>2.9967802471408653</x:v>
      </x:c>
      <x:c r="F15" s="30" t="n">
        <x:f>Results!J36</x:f>
        <x:v>2.9922587552261515</x:v>
      </x:c>
      <x:c r="G15" s="30" t="n">
        <x:f>Results!J44</x:f>
        <x:v>2.990942756458189</x:v>
      </x:c>
    </x:row>
    <x:row r="16">
      <x:c r="A16" s="30" t="n">
        <x:v>4</x:v>
      </x:c>
      <x:c r="B16" s="30" t="n">
        <x:f>Results!J5</x:f>
        <x:v>3.99356625298151</x:v>
      </x:c>
      <x:c r="C16" s="30" t="n">
        <x:f>Results!J13</x:f>
        <x:v>3.7796439401267654</x:v>
      </x:c>
      <x:c r="D16" s="30" t="n">
        <x:f>Results!J21</x:f>
        <x:v>3.791630684223055</x:v>
      </x:c>
      <x:c r="E16" s="30" t="n">
        <x:f>Results!J29</x:f>
        <x:v>3.981252929704212</x:v>
      </x:c>
      <x:c r="F16" s="30" t="n">
        <x:f>Results!J37</x:f>
        <x:v>3.9893469759939215</x:v>
      </x:c>
      <x:c r="G16" s="30" t="n">
        <x:f>Results!J45</x:f>
        <x:v>3.986957567131703</x:v>
      </x:c>
    </x:row>
    <x:row r="17">
      <x:c r="A17" s="30" t="n">
        <x:v>5</x:v>
      </x:c>
      <x:c r="B17" s="30" t="n">
        <x:f>Results!J6</x:f>
        <x:v>4.889134430170868</x:v>
      </x:c>
      <x:c r="C17" s="30" t="n">
        <x:f>Results!J14</x:f>
        <x:v>4.722663599814496</x:v>
      </x:c>
      <x:c r="D17" s="30" t="n">
        <x:f>Results!J22</x:f>
        <x:v>4.6925453533893355</x:v>
      </x:c>
      <x:c r="E17" s="30" t="n">
        <x:f>Results!J30</x:f>
        <x:v>4.852682467551268</x:v>
      </x:c>
      <x:c r="F17" s="30" t="n">
        <x:f>Results!J38</x:f>
        <x:v>4.887835254880003</x:v>
      </x:c>
      <x:c r="G17" s="30" t="n">
        <x:f>Results!J46</x:f>
        <x:v>4.885504573650784</x:v>
      </x:c>
    </x:row>
    <x:row r="18">
      <x:c r="A18" s="30" t="n">
        <x:v>6</x:v>
      </x:c>
      <x:c r="B18" s="30" t="n">
        <x:f>Results!J7</x:f>
        <x:v>5.86609549097525</x:v>
      </x:c>
      <x:c r="C18" s="30" t="n">
        <x:f>Results!J15</x:f>
        <x:v>5.578904017197563</x:v>
      </x:c>
      <x:c r="D18" s="30" t="n">
        <x:f>Results!J23</x:f>
        <x:v>5.551638468648898</x:v>
      </x:c>
      <x:c r="E18" s="30" t="n">
        <x:f>Results!J31</x:f>
        <x:v>5.777334801704535</x:v>
      </x:c>
      <x:c r="F18" s="30" t="n">
        <x:f>Results!J39</x:f>
        <x:v>5.897467205812179</x:v>
      </x:c>
      <x:c r="G18" s="30" t="n">
        <x:f>Results!J47</x:f>
        <x:v>5.8611855368980565</x:v>
      </x:c>
    </x:row>
    <x:row r="19">
      <x:c r="A19" s="30" t="n">
        <x:v>7</x:v>
      </x:c>
      <x:c r="B19" s="30" t="n">
        <x:f>Results!J8</x:f>
        <x:v>6.840765866486786</x:v>
      </x:c>
      <x:c r="C19" s="30" t="n">
        <x:f>Results!J16</x:f>
        <x:v>6.5750073120046935</x:v>
      </x:c>
      <x:c r="D19" s="30" t="n">
        <x:f>Results!J24</x:f>
        <x:v>6.514711787813151</x:v>
      </x:c>
      <x:c r="E19" s="30" t="n">
        <x:f>Results!J32</x:f>
        <x:v>6.665286463943199</x:v>
      </x:c>
      <x:c r="F19" s="30" t="n">
        <x:f>Results!J40</x:f>
        <x:v>6.836664322377193</x:v>
      </x:c>
      <x:c r="G19" s="30" t="n">
        <x:f>Results!J48</x:f>
        <x:v>7.004022127795118</x:v>
      </x:c>
    </x:row>
    <x:row r="20">
      <x:c r="A20" s="30" t="n">
        <x:v>8</x:v>
      </x:c>
      <x:c r="B20" s="30" t="n">
        <x:f>Results!J9</x:f>
        <x:v>7.81114955600184</x:v>
      </x:c>
      <x:c r="C20" s="30" t="n">
        <x:f>Results!J17</x:f>
        <x:v>7.2362912609654595</x:v>
      </x:c>
      <x:c r="D20" s="30" t="n">
        <x:f>Results!J25</x:f>
        <x:v>7.4148529148902504</x:v>
      </x:c>
      <x:c r="E20" s="30" t="n">
        <x:f>Results!J33</x:f>
        <x:v>7.486237456868507</x:v>
      </x:c>
      <x:c r="F20" s="30" t="n">
        <x:f>Results!J41</x:f>
        <x:v>7.811304704288298</x:v>
      </x:c>
      <x:c r="G20" s="30" t="n">
        <x:f>Results!J49</x:f>
        <x:v>7.9883745871390825</x:v>
      </x:c>
    </x:row>
  </x:sheetData>
  <x:pageMargins left="0.7" right="0.7" top="0.75" bottom="0.75" header="0.3" footer="0.3"/>
  <x:drawing xmlns:r="http://schemas.openxmlformats.org/officeDocument/2006/relationships" r:id="R94f8a21004c445a5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5" t="str">
        <x:v>Part 2 Performance Analysis</x:v>
      </x:c>
      <x:c r="B1" s="35"/>
      <x:c r="C1" s="35"/>
      <x:c r="D1" s="35"/>
      <x:c r="E1" s="35"/>
      <x:c r="F1" s="35"/>
    </x:row>
    <x:row r="3" ht="54" customHeight="1">
      <x:c r="A3" s="40" t="str">
        <x:v>Memory traffic model</x:v>
      </x:c>
      <x:c r="B3" s="46" t="str">
        <x:v>For the final benchmark, the tensor contains 2^32 uint8 elements. The payload model counts one read and one write per element, so traffic = 2 × 2^32 bytes = 8,589,934,592 bytes. Effective bandwidth is traffic / median runtime.</x:v>
      </x:c>
      <x:c r="D3" s="5" t="str">
        <x:v>Rank</x:v>
      </x:c>
      <x:c r="E3" s="5" t="str">
        <x:v>8-thread BW (GB/s)</x:v>
      </x:c>
      <x:c r="F3" s="5" t="str">
        <x:v>8-thread speedup</x:v>
      </x:c>
    </x:row>
    <x:row r="4" ht="54" customHeight="1">
      <x:c r="A4" s="40" t="str">
        <x:v>Parallel scaling</x:v>
      </x:c>
      <x:c r="B4" s="46" t="str">
        <x:v>The optimized Numba implementation scales strongly across 8 physical cores. At 8 threads, speedup is 7.81× for rank 1, 7.24× for rank 2, 7.42× for rank 4, 7.49× for rank 8, 7.81× for rank 16, and 7.99× for rank 32.</x:v>
      </x:c>
      <x:c r="D4" t="n">
        <x:v>1</x:v>
      </x:c>
      <x:c r="E4" s="14" t="n">
        <x:f>Results!I9</x:f>
        <x:v>4.3300580867348994</x:v>
      </x:c>
      <x:c r="F4" s="14" t="n">
        <x:f>Results!J9</x:f>
        <x:v>7.81114955600184</x:v>
      </x:c>
    </x:row>
    <x:row r="5" ht="54" customHeight="1">
      <x:c r="A5" s="40" t="str">
        <x:v>Bandwidth behavior</x:v>
      </x:c>
      <x:c r="B5" s="46" t="str">
        <x:v>Rank 1 reaches the highest 8-thread effective bandwidth (4.33 GB/s). Ranks 2, 4, and 8 cluster around 0.36–0.42 GB/s. Rank 16 falls to 0.20 GB/s and rank 32 to 0.089 GB/s.</x:v>
      </x:c>
      <x:c r="D5" t="n">
        <x:v>2</x:v>
      </x:c>
      <x:c r="E5" s="14" t="n">
        <x:f>Results!I17</x:f>
        <x:v>0.36387285973670397</x:v>
      </x:c>
      <x:c r="F5" s="14" t="n">
        <x:f>Results!J17</x:f>
        <x:v>7.2362912609654595</x:v>
      </x:c>
    </x:row>
    <x:row r="6" ht="54" customHeight="1">
      <x:c r="A6" s="40" t="str">
        <x:v>Why high rank is slower</x:v>
      </x:c>
      <x:c r="B6" s="46" t="str">
        <x:v>The index-recalculation kernel performs rank-dependent coordinate decoding using integer division/modulo and stride accumulation. As rank increases, arithmetic work per element rises, so high-rank cases become increasingly compute-bound even though parallel speedup remains close to ideal.</x:v>
      </x:c>
      <x:c r="D6" t="n">
        <x:v>4</x:v>
      </x:c>
      <x:c r="E6" s="14" t="n">
        <x:f>Results!I25</x:f>
        <x:v>0.38734080316065284</x:v>
      </x:c>
      <x:c r="F6" s="14" t="n">
        <x:f>Results!J25</x:f>
        <x:v>7.4148529148902504</x:v>
      </x:c>
    </x:row>
    <x:row r="7" ht="54" customHeight="1">
      <x:c r="A7" s="40" t="str">
        <x:v>Why bandwidth is not monotonic</x:v>
      </x:c>
      <x:c r="B7" s="46" t="str">
        <x:v>Effective bandwidth is not strictly monotonic with rank because runtime depends on both index arithmetic and memory locality. Different square shapes create different destination-write patterns, which affect cache and TLB behavior.</x:v>
      </x:c>
      <x:c r="D7" t="n">
        <x:v>8</x:v>
      </x:c>
      <x:c r="E7" s="14" t="n">
        <x:f>Results!I33</x:f>
        <x:v>0.41566960489407995</x:v>
      </x:c>
      <x:c r="F7" s="14" t="n">
        <x:f>Results!J33</x:f>
        <x:v>7.486237456868507</x:v>
      </x:c>
    </x:row>
    <x:row r="8" ht="54" customHeight="1">
      <x:c r="A8" s="40" t="str">
        <x:v>Roofline interpretation</x:v>
      </x:c>
      <x:c r="B8" s="46" t="str">
        <x:v>Low-rank cases do less index arithmetic and are relatively more sensitive to memory behavior. High-rank cases execute much more integer arithmetic per byte moved, so their effective bandwidth is lower while core scaling remains strong. Rank 32 is the clearest compute-bound case: only 0.089 GB/s at 8 threads, yet almost ideal 7.99× speedup.</x:v>
      </x:c>
      <x:c r="D8" t="n">
        <x:v>16</x:v>
      </x:c>
      <x:c r="E8" s="14" t="n">
        <x:f>Results!I41</x:f>
        <x:v>0.200494513142282</x:v>
      </x:c>
      <x:c r="F8" s="14" t="n">
        <x:f>Results!J41</x:f>
        <x:v>7.811304704288298</x:v>
      </x:c>
    </x:row>
    <x:row r="9" ht="54" customHeight="1">
      <x:c r="A9" s="40" t="str">
        <x:v>Part 3 connection</x:v>
      </x:c>
      <x:c r="B9" s="46" t="str">
        <x:v>The rank-2 case is closely related to matrix transpose: source reads are regular but destination writes are highly strided. Blocking/tiling can improve cache/TLB locality by operating on smaller sub-tensors, which motivates the Part 3 locality exploration.</x:v>
      </x:c>
      <x:c r="D9" t="n">
        <x:v>32</x:v>
      </x:c>
      <x:c r="E9" s="14" t="n">
        <x:f>Results!I49</x:f>
        <x:v>0.08915126027578586</x:v>
      </x:c>
      <x:c r="F9" s="14" t="n">
        <x:f>Results!J49</x:f>
        <x:v>7.9883745871390825</x:v>
      </x:c>
    </x:row>
  </x:sheetData>
  <x:mergeCells>
    <x:mergeCell ref="A1:F1"/>
  </x:mergeCells>
  <x:pageMargins left="0.7" right="0.7" top="0.75" bottom="0.75" header="0.3" footer="0.3"/>
</x:worksheet>
</file>